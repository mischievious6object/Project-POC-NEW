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66925"/>
  <mc:AlternateContent xmlns:mc="http://schemas.openxmlformats.org/markup-compatibility/2006">
    <mc:Choice Requires="x15">
      <x15ac:absPath xmlns:x15ac="http://schemas.microsoft.com/office/spreadsheetml/2010/11/ac" url="https://rocvantwente.sharepoint.com/sites/SMW_1627softwaredevelopergame/Gedeelde documenten/General/Lesmateriaal/Projecten/J3P1 PRO Proof of Concepts/2526 - kopie/"/>
    </mc:Choice>
  </mc:AlternateContent>
  <xr:revisionPtr revIDLastSave="2039" documentId="8_{411862EF-07A6-4D8F-965D-62B82C739016}" xr6:coauthVersionLast="47" xr6:coauthVersionMax="47" xr10:uidLastSave="{9B553B28-F3D5-4882-9B17-7EEA745F6DB4}"/>
  <bookViews>
    <workbookView xWindow="-120" yWindow="-120" windowWidth="29040" windowHeight="15720" xr2:uid="{8C293AED-F2D6-4EF7-AE69-58CDDDD7A9FE}"/>
  </bookViews>
  <sheets>
    <sheet name="Eindijcers" sheetId="18" r:id="rId1"/>
    <sheet name="Rubric conceptfase" sheetId="7" r:id="rId2"/>
    <sheet name="Rubric productiefase VR" sheetId="8" r:id="rId3"/>
    <sheet name="Rubric productiefase TurnBased" sheetId="16" r:id="rId4"/>
    <sheet name="Rubric productiefase Physics" sheetId="17"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8" i="17" l="1"/>
  <c r="I8" i="17" s="1"/>
  <c r="J8" i="17" s="1"/>
  <c r="K8" i="17" s="1"/>
  <c r="L8" i="17" s="1"/>
  <c r="H7" i="17"/>
  <c r="I7" i="17" s="1"/>
  <c r="J7" i="17" s="1"/>
  <c r="K7" i="17" s="1"/>
  <c r="L7" i="17" s="1"/>
  <c r="H6" i="17"/>
  <c r="I6" i="17" s="1"/>
  <c r="J6" i="17" s="1"/>
  <c r="K6" i="17" s="1"/>
  <c r="L6" i="17" s="1"/>
  <c r="H5" i="17"/>
  <c r="I5" i="17" s="1"/>
  <c r="J5" i="17" s="1"/>
  <c r="K5" i="17" s="1"/>
  <c r="L5" i="17" s="1"/>
  <c r="H8" i="16"/>
  <c r="I8" i="16" s="1"/>
  <c r="J8" i="16" s="1"/>
  <c r="K8" i="16" s="1"/>
  <c r="L8" i="16" s="1"/>
  <c r="H7" i="16"/>
  <c r="I7" i="16" s="1"/>
  <c r="J7" i="16" s="1"/>
  <c r="K7" i="16" s="1"/>
  <c r="L7" i="16" s="1"/>
  <c r="H6" i="16"/>
  <c r="I6" i="16" s="1"/>
  <c r="J6" i="16" s="1"/>
  <c r="K6" i="16" s="1"/>
  <c r="L6" i="16" s="1"/>
  <c r="H5" i="16"/>
  <c r="I5" i="16" s="1"/>
  <c r="J5" i="16" s="1"/>
  <c r="K5" i="16" s="1"/>
  <c r="L5" i="16" s="1"/>
  <c r="I9" i="8"/>
  <c r="J9" i="8"/>
  <c r="K9" i="8"/>
  <c r="L9" i="8"/>
  <c r="H9" i="8"/>
  <c r="L9" i="17" l="1"/>
  <c r="K9" i="17"/>
  <c r="J9" i="17"/>
  <c r="I9" i="17"/>
  <c r="H9" i="17"/>
  <c r="C6" i="18" s="1"/>
  <c r="L9" i="16"/>
  <c r="G5" i="18" s="1"/>
  <c r="K9" i="16"/>
  <c r="F5" i="18" s="1"/>
  <c r="J9" i="16"/>
  <c r="E5" i="18" s="1"/>
  <c r="I9" i="16"/>
  <c r="D5" i="18" s="1"/>
  <c r="H9" i="16"/>
  <c r="C5" i="18" s="1"/>
  <c r="D4" i="18"/>
  <c r="E4" i="18"/>
  <c r="F4" i="18"/>
  <c r="G4" i="18"/>
  <c r="C4" i="18"/>
  <c r="D6" i="18"/>
  <c r="E6" i="18"/>
  <c r="F6" i="18"/>
  <c r="G6" i="18"/>
  <c r="G9" i="7"/>
  <c r="C3" i="18" s="1"/>
  <c r="H8" i="8"/>
  <c r="I8" i="8" s="1"/>
  <c r="J8" i="8" s="1"/>
  <c r="K8" i="8" s="1"/>
  <c r="L8" i="8" s="1"/>
  <c r="H7" i="8"/>
  <c r="I7" i="8" s="1"/>
  <c r="J7" i="8" s="1"/>
  <c r="K7" i="8" s="1"/>
  <c r="L7" i="8" s="1"/>
  <c r="H6" i="8"/>
  <c r="I6" i="8" s="1"/>
  <c r="J6" i="8" s="1"/>
  <c r="K6" i="8" s="1"/>
  <c r="L6" i="8" s="1"/>
  <c r="H5" i="8"/>
  <c r="I5" i="8" s="1"/>
  <c r="J5" i="8" s="1"/>
  <c r="K5" i="8" s="1"/>
  <c r="L5" i="8" s="1"/>
  <c r="G3" i="18" l="1"/>
  <c r="F3" i="18"/>
  <c r="E3" i="18"/>
  <c r="D3" i="18"/>
  <c r="C7" i="18"/>
  <c r="G7" i="18"/>
  <c r="F7" i="18"/>
  <c r="E7" i="18"/>
  <c r="D7" i="1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FC36912-3C7D-474F-BDE2-57F132A0078C}" keepAlive="1" name="Query - Cijfers van 1614 20SD Axolotl - 18-06-2021 11-54" description="Verbinding maken met de query Cijfers van 1614 20SD Axolotl - 18-06-2021 11-54 in de werkmap." type="5" refreshedVersion="7" background="1" saveData="1">
    <dbPr connection="Provider=Microsoft.Mashup.OleDb.1;Data Source=$Workbook$;Location=&quot;Cijfers van 1614 20SD Axolotl - 18-06-2021 11-54&quot;;Extended Properties=&quot;&quot;" command="SELECT * FROM [Cijfers van 1614 20SD Axolotl - 18-06-2021 11-54]"/>
  </connection>
  <connection id="2" xr16:uid="{516B9D7A-A938-47EE-9DF0-B516C07F8352}" keepAlive="1" name="Query - Cijfers van 1614 20SD Axolotl - 18-06-2021 11-54 (2)" description="Verbinding maken met de query Cijfers van 1614 20SD Axolotl - 18-06-2021 11-54 (2) in de werkmap." type="5" refreshedVersion="7" background="1" saveData="1">
    <dbPr connection="Provider=Microsoft.Mashup.OleDb.1;Data Source=$Workbook$;Location=&quot;Cijfers van 1614 20SD Axolotl - 18-06-2021 11-54 (2)&quot;;Extended Properties=&quot;&quot;" command="SELECT * FROM [Cijfers van 1614 20SD Axolotl - 18-06-2021 11-54 (2)]"/>
  </connection>
</connections>
</file>

<file path=xl/sharedStrings.xml><?xml version="1.0" encoding="utf-8"?>
<sst xmlns="http://schemas.openxmlformats.org/spreadsheetml/2006/main" count="194" uniqueCount="60">
  <si>
    <t>sprint0</t>
  </si>
  <si>
    <t>sprint1</t>
  </si>
  <si>
    <t>sprint2</t>
  </si>
  <si>
    <t>sprint3</t>
  </si>
  <si>
    <t>Eindcijfer:</t>
  </si>
  <si>
    <t>Onderdeel</t>
  </si>
  <si>
    <t>(0)
Ontbreekt</t>
  </si>
  <si>
    <t>(1)
Incompleet</t>
  </si>
  <si>
    <t>(2)
Voldoende</t>
  </si>
  <si>
    <t>(3)
Goed</t>
  </si>
  <si>
    <t>Punten:</t>
  </si>
  <si>
    <t>Feedback:</t>
  </si>
  <si>
    <t>Cesuusr:</t>
  </si>
  <si>
    <t>1
Verplichte onderdelen</t>
  </si>
  <si>
    <t>Ontbreekt</t>
  </si>
  <si>
    <t>Concept document mist één of meer verplichte onderdelen of zijn van onvoldoende kwaliteit
(Titelblad, Inhoudsopgave, pagina nummers, bronvermelding)</t>
  </si>
  <si>
    <t>Concept document mist geen verplichte onderdelen en zijn van voldoende kwaliteit
(Titelblad, Inhoudsopgave, pagina nummers, bronvermelding)</t>
  </si>
  <si>
    <t>Voldoende criteria + 
Elk onderdeel is zorgvuldig gemaakt en ziet er professioneel uit</t>
  </si>
  <si>
    <t>0 = alles ontbreekt
1 = íets ontbreekt
1 = meer dan één onderdeel incompleet
2 = alles minimaal voldoende en maximaal 1 incompleet onderdeel
2 = alles voldoende
3 = op één voldoende na alles een goed
3 = alles een goed</t>
  </si>
  <si>
    <t>2
Code of conduct</t>
  </si>
  <si>
    <t>Code of conduct mist één of meer verplichte onderdelen of zijn van onvoldoende kwaliteit
(Strike systeem, Scrum, Communicatie, Deadlines, Teamwork, Source control)</t>
  </si>
  <si>
    <t>Code of conduct mist geen verplichte onderdelen en zijn van voldoende kwaliteit
(Strike systeem, Scrum, Communicatie, Deadlines, Teamwork, Source control)</t>
  </si>
  <si>
    <t>3
VR schieten/gooien concept</t>
  </si>
  <si>
    <t>Concept mist één of meer verplichte onderdelen of zijn van onvoldoende kwaliteit
(Concept uitleg, planning, bijrolverdeling, onderzoek)</t>
  </si>
  <si>
    <t>Concept mist geen verplichte onderdelen en zijn van voldoende kwaliteit
(Concept uitleg, planning, bijrolverdeling, onderzoek)</t>
  </si>
  <si>
    <t>Voldoende criteria +
Elk onderdeel is zorgvuldig gemaakt en ziet er professioneel uit +
Het onderzoek is van gedegen kwaliteit en reikwijdte inclusief de bronvermelding volgens APA.</t>
  </si>
  <si>
    <t>4
Turn based concept</t>
  </si>
  <si>
    <t>5
Physics concept</t>
  </si>
  <si>
    <t>6
Bijrollenverdeling</t>
  </si>
  <si>
    <t>Iemand van het team heeft geen rol gekozen/toegedeeld gekregen.</t>
  </si>
  <si>
    <t>Iemand binnen het team heeft een bepaalde bijrol dubbel</t>
  </si>
  <si>
    <t>Iedereen binnen het team heeft geen enkele bijrol dubbel</t>
  </si>
  <si>
    <t>Eindbeoordeling:
(zie cesuur &gt; )</t>
  </si>
  <si>
    <t>Groep:</t>
  </si>
  <si>
    <t>1
Bijrollen feedback (Individueel)</t>
  </si>
  <si>
    <t>Student heeft één of meerdere
bijrollen NIET voorzien van nuttige feedback, of de onderbouwing ontbreekt.
De student heeft NIET geprobeerd te voorspellen welke feedback zijn rol krijgt van de rest van het team.</t>
  </si>
  <si>
    <t>Student heeft iedere rol voorzien van nuttige feedback waarbij de feedback goed onderbouwd is.
De student heeft geprobeerd te voorspellen welke feedback zijn rol krijgt van de rest van het team.</t>
  </si>
  <si>
    <t>Voldoende criteria + 
Alle feedback is besproken binnen de groep en de student heeft zijn voorspelde feedback vergeleken met de feedback van de rest van het team. De uitkomsten zijn kort vermeld.</t>
  </si>
  <si>
    <t>nvt</t>
  </si>
  <si>
    <t>2
Developler Log (Individueel)</t>
  </si>
  <si>
    <t>Eén of meerdere verplichte secties ontbreken (bijv. geen screenshots van daily standups, geen reflectie over persoonlijke bijdrage, geen actiepunten).
Ingevulde secties zijn extreem summier (bijv. “Alles ging goed”) en bevatten géén concrete voorbeelden.</t>
  </si>
  <si>
    <t xml:space="preserve"> Alle verplichte secties uit het sjabloon zijn ingevuld (daily standups, bereikt resultaat, uitdagingen, geleerde lessen, vragen, verbeterpunten, persoonlijk welzijn, actiepunten).
Inhoud is duidelijk maar algemene reflecties missen diepgang (bijv. concrete voorbeelden van oplossingen).</t>
  </si>
  <si>
    <t xml:space="preserve"> Alle secties zijn volledig en goed onderbouwd ingevuld.
Reflecties tonen diepgaand inzicht: de student beschrijft oplossingen en evalueert de eigen bijdrage kritisch.
Actiepunten zijn SMART geformuleerd en er is een duidelijk verband met volgende sprint.</t>
  </si>
  <si>
    <t>3
Retrospective (Gezamenlijk)</t>
  </si>
  <si>
    <t>Er is NIET gezamenlijk gekeken naar alle positieve en negatieve bijdrages van de afgelopen sprint of er is GEEN duidelijk plan opgesteld voor de volgende sprint
De Code of conduct is NIET aangepast terwijl de reflectie dat wel suggereert.
Tijdens sprint 2 en 3 wordt er NIET gekeken of er gebruik is gemaakt van de vorige retrospective.</t>
  </si>
  <si>
    <t>Er is gezamenlijk gekeken naar alle positieve en negatieve bijdrages van de afgelopen sprint en er is een duidelijk plan opgesteld voor de volgende sprint.
De Code of conduct is indien nodig aangepast
Tijdens sprint 2 en 3 wordt er gekeken of er gebruik is gemaakt van de vorige retrospective.</t>
  </si>
  <si>
    <t>Voldoende criteria +
Elk onderdeel is zorgvuldig en professioneel gemaakt
Het plan voor de volgende sprint kan duidelijk gecontroleerd worden</t>
  </si>
  <si>
    <t>4
Oplevering</t>
  </si>
  <si>
    <t>Niet alle onderdelen zijn opgeleverd.</t>
  </si>
  <si>
    <t>Alle onderdelen zijn opgeleverd, maar de naamgeving en/of mappenstructuur is niet helder.</t>
  </si>
  <si>
    <t>Alle onderdelen zijn zorgvuldig en helder opgeleverd, de mappenstructuur is logisch en naamgeveing is goed.</t>
  </si>
  <si>
    <t>5
Proof of concept</t>
  </si>
  <si>
    <t>Er is geen presentatie voorbereid of de Proof of concept is niet testbaar.</t>
  </si>
  <si>
    <t>Er is een verzorgde presentatie voorbereid en de Proof of concept valt goed te testen.</t>
  </si>
  <si>
    <t>Voldoende criteria +
De presentatie is zorgvuldig en professioneel gemaakt en gepresenteert.</t>
  </si>
  <si>
    <t>6
Beoordeling</t>
  </si>
  <si>
    <t>De beoordeling is niet compleet ingevuld.</t>
  </si>
  <si>
    <t>De beoordeling is ingevuld, maar niet voorzien van feedback of constructieve feedback.</t>
  </si>
  <si>
    <t>De beoordeling is ingevuld en voorzien van constructieve feedback.</t>
  </si>
  <si>
    <t>Student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</si>
</sst>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x14ac:knownFonts="1">
    <font>
      <sz val="11"/>
      <color theme="1"/>
      <name val="Calibri"/>
      <family val="2"/>
      <scheme val="minor"/>
    </font>
    <font>
      <b/>
      <sz val="10.5"/>
      <color rgb="FFFF9900"/>
      <name val="Cambria"/>
      <family val="1"/>
    </font>
    <font>
      <b/>
      <sz val="10.5"/>
      <color rgb="FF00B050"/>
      <name val="Cambria"/>
      <family val="1"/>
    </font>
    <font>
      <b/>
      <sz val="10.5"/>
      <color rgb="FF0070C0"/>
      <name val="Cambria"/>
      <family val="1"/>
    </font>
    <font>
      <b/>
      <sz val="9"/>
      <color rgb="FF000000"/>
      <name val="Cambria"/>
      <family val="1"/>
    </font>
    <font>
      <sz val="9"/>
      <color rgb="FF000000"/>
      <name val="Cambria"/>
      <family val="1"/>
    </font>
    <font>
      <sz val="9"/>
      <color theme="1"/>
      <name val="Cambria"/>
      <family val="1"/>
    </font>
    <font>
      <sz val="9"/>
      <name val="Cambria"/>
      <family val="1"/>
    </font>
    <font>
      <b/>
      <sz val="12"/>
      <color rgb="FFC00000"/>
      <name val="Cambria"/>
      <family val="1"/>
    </font>
    <font>
      <b/>
      <sz val="12"/>
      <color rgb="FFFFFFFF"/>
      <name val="Cambria"/>
      <family val="1"/>
    </font>
    <font>
      <b/>
      <sz val="11"/>
      <color theme="1"/>
      <name val="Calibri"/>
      <family val="2"/>
      <scheme val="minor"/>
    </font>
    <font>
      <b/>
      <sz val="12"/>
      <color rgb="FFFF9900"/>
      <name val="Cambria"/>
      <family val="1"/>
    </font>
    <font>
      <b/>
      <sz val="12"/>
      <color rgb="FF00B050"/>
      <name val="Cambria"/>
      <family val="1"/>
    </font>
    <font>
      <b/>
      <sz val="12"/>
      <color rgb="FF0070C0"/>
      <name val="Cambria"/>
      <family val="1"/>
    </font>
    <font>
      <b/>
      <sz val="12"/>
      <color theme="1"/>
      <name val="Cambria"/>
      <family val="1"/>
    </font>
    <font>
      <b/>
      <sz val="16"/>
      <name val="Cambria"/>
      <family val="1"/>
    </font>
    <font>
      <b/>
      <sz val="16"/>
      <color theme="1"/>
      <name val="Calibri"/>
      <family val="2"/>
      <scheme val="minor"/>
    </font>
    <font>
      <b/>
      <sz val="11"/>
      <name val="Cambria"/>
      <family val="1"/>
    </font>
    <font>
      <i/>
      <sz val="16"/>
      <name val="Cambria"/>
      <family val="1"/>
    </font>
    <font>
      <i/>
      <sz val="16"/>
      <color theme="1"/>
      <name val="Calibri"/>
      <family val="2"/>
      <scheme val="minor"/>
    </font>
  </fonts>
  <fills count="15">
    <fill>
      <patternFill patternType="none"/>
    </fill>
    <fill>
      <patternFill patternType="gray125"/>
    </fill>
    <fill>
      <patternFill patternType="solid">
        <fgColor theme="9" tint="0.79998168889431442"/>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rgb="FF71A5AF"/>
        <bgColor indexed="64"/>
      </patternFill>
    </fill>
    <fill>
      <patternFill patternType="solid">
        <fgColor rgb="FFF2F2F2"/>
        <bgColor indexed="64"/>
      </patternFill>
    </fill>
    <fill>
      <patternFill patternType="solid">
        <fgColor theme="5" tint="0.79998168889431442"/>
        <bgColor indexed="64"/>
      </patternFill>
    </fill>
    <fill>
      <patternFill patternType="solid">
        <fgColor rgb="FFFF9999"/>
        <bgColor indexed="64"/>
      </patternFill>
    </fill>
    <fill>
      <patternFill patternType="solid">
        <fgColor theme="0"/>
        <bgColor indexed="64"/>
      </patternFill>
    </fill>
    <fill>
      <patternFill patternType="solid">
        <fgColor theme="2" tint="-9.9978637043366805E-2"/>
        <bgColor indexed="64"/>
      </patternFill>
    </fill>
    <fill>
      <patternFill patternType="solid">
        <fgColor theme="7" tint="0.39997558519241921"/>
        <bgColor indexed="64"/>
      </patternFill>
    </fill>
    <fill>
      <patternFill patternType="solid">
        <fgColor theme="0" tint="-0.14999847407452621"/>
        <bgColor indexed="64"/>
      </patternFill>
    </fill>
    <fill>
      <patternFill patternType="solid">
        <fgColor theme="7" tint="-0.249977111117893"/>
        <bgColor indexed="64"/>
      </patternFill>
    </fill>
  </fills>
  <borders count="22">
    <border>
      <left/>
      <right/>
      <top/>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rgb="FF134F5C"/>
      </left>
      <right style="medium">
        <color rgb="FF134F5C"/>
      </right>
      <top style="medium">
        <color rgb="FF134F5C"/>
      </top>
      <bottom/>
      <diagonal/>
    </border>
    <border>
      <left/>
      <right style="medium">
        <color rgb="FF134F5C"/>
      </right>
      <top style="medium">
        <color rgb="FF134F5C"/>
      </top>
      <bottom/>
      <diagonal/>
    </border>
    <border>
      <left style="medium">
        <color indexed="64"/>
      </left>
      <right style="medium">
        <color rgb="FF134F5C"/>
      </right>
      <top style="medium">
        <color indexed="64"/>
      </top>
      <bottom style="medium">
        <color indexed="64"/>
      </bottom>
      <diagonal/>
    </border>
    <border>
      <left style="medium">
        <color rgb="FF134F5C"/>
      </left>
      <right style="medium">
        <color rgb="FF134F5C"/>
      </right>
      <top style="medium">
        <color indexed="64"/>
      </top>
      <bottom style="medium">
        <color indexed="64"/>
      </bottom>
      <diagonal/>
    </border>
    <border>
      <left/>
      <right style="medium">
        <color rgb="FF134F5C"/>
      </right>
      <top style="medium">
        <color indexed="64"/>
      </top>
      <bottom style="medium">
        <color indexed="64"/>
      </bottom>
      <diagonal/>
    </border>
    <border>
      <left style="medium">
        <color rgb="FF134F5C"/>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s>
  <cellStyleXfs count="1">
    <xf numFmtId="0" fontId="0" fillId="0" borderId="0"/>
  </cellStyleXfs>
  <cellXfs count="44">
    <xf numFmtId="0" fontId="0" fillId="0" borderId="0" xfId="0"/>
    <xf numFmtId="0" fontId="4" fillId="7" borderId="8" xfId="0" applyFont="1" applyFill="1" applyBorder="1" applyAlignment="1">
      <alignment horizontal="center" vertical="center" wrapText="1"/>
    </xf>
    <xf numFmtId="0" fontId="5" fillId="7" borderId="9" xfId="0" applyFont="1" applyFill="1" applyBorder="1" applyAlignment="1">
      <alignment vertical="center" wrapText="1"/>
    </xf>
    <xf numFmtId="0" fontId="5" fillId="7" borderId="10" xfId="0" applyFont="1" applyFill="1" applyBorder="1" applyAlignment="1">
      <alignment vertical="center" wrapText="1"/>
    </xf>
    <xf numFmtId="0" fontId="6" fillId="7" borderId="9" xfId="0" applyFont="1" applyFill="1" applyBorder="1" applyAlignment="1">
      <alignment vertical="center" wrapText="1"/>
    </xf>
    <xf numFmtId="0" fontId="7" fillId="7" borderId="1" xfId="0" applyFont="1" applyFill="1" applyBorder="1" applyAlignment="1">
      <alignment vertical="center" wrapText="1"/>
    </xf>
    <xf numFmtId="0" fontId="2" fillId="2" borderId="7"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1" fillId="8" borderId="7" xfId="0" applyFont="1" applyFill="1" applyBorder="1" applyAlignment="1">
      <alignment horizontal="center" vertical="center" wrapText="1"/>
    </xf>
    <xf numFmtId="0" fontId="8" fillId="9" borderId="7" xfId="0" applyFont="1" applyFill="1" applyBorder="1" applyAlignment="1">
      <alignment horizontal="center" vertical="center" wrapText="1"/>
    </xf>
    <xf numFmtId="0" fontId="5" fillId="7" borderId="10" xfId="0" applyFont="1" applyFill="1" applyBorder="1" applyAlignment="1">
      <alignment horizontal="center" vertical="center" wrapText="1"/>
    </xf>
    <xf numFmtId="0" fontId="7" fillId="7" borderId="11" xfId="0" applyFont="1" applyFill="1" applyBorder="1" applyAlignment="1">
      <alignment vertical="center" wrapText="1"/>
    </xf>
    <xf numFmtId="0" fontId="9" fillId="6" borderId="6" xfId="0" applyFont="1" applyFill="1" applyBorder="1" applyAlignment="1">
      <alignment horizontal="center" vertical="center" wrapText="1"/>
    </xf>
    <xf numFmtId="0" fontId="0" fillId="0" borderId="0" xfId="0" applyAlignment="1">
      <alignment vertical="top" wrapText="1"/>
    </xf>
    <xf numFmtId="0" fontId="0" fillId="0" borderId="0" xfId="0" applyAlignment="1">
      <alignment vertical="top"/>
    </xf>
    <xf numFmtId="0" fontId="11" fillId="8" borderId="7" xfId="0" applyFont="1" applyFill="1" applyBorder="1" applyAlignment="1">
      <alignment horizontal="center" vertical="center" wrapText="1"/>
    </xf>
    <xf numFmtId="0" fontId="12" fillId="2" borderId="7" xfId="0" applyFont="1" applyFill="1" applyBorder="1" applyAlignment="1">
      <alignment horizontal="center" vertical="center" wrapText="1"/>
    </xf>
    <xf numFmtId="0" fontId="13" fillId="3" borderId="7" xfId="0" applyFont="1" applyFill="1" applyBorder="1" applyAlignment="1">
      <alignment horizontal="center" vertical="center" wrapText="1"/>
    </xf>
    <xf numFmtId="0" fontId="14" fillId="11" borderId="7" xfId="0" applyFont="1" applyFill="1" applyBorder="1" applyAlignment="1">
      <alignment horizontal="left" vertical="center" wrapText="1"/>
    </xf>
    <xf numFmtId="0" fontId="7" fillId="10" borderId="1" xfId="0" applyFont="1" applyFill="1" applyBorder="1" applyAlignment="1">
      <alignment vertical="center" wrapText="1"/>
    </xf>
    <xf numFmtId="0" fontId="7" fillId="10" borderId="11" xfId="0" applyFont="1" applyFill="1" applyBorder="1" applyAlignment="1">
      <alignment vertical="center" wrapText="1"/>
    </xf>
    <xf numFmtId="0" fontId="10" fillId="0" borderId="5" xfId="0" applyFont="1" applyBorder="1" applyAlignment="1">
      <alignment horizontal="left" vertical="center" wrapText="1"/>
    </xf>
    <xf numFmtId="0" fontId="0" fillId="0" borderId="2" xfId="0" applyBorder="1" applyAlignment="1">
      <alignment vertical="top"/>
    </xf>
    <xf numFmtId="0" fontId="0" fillId="0" borderId="3" xfId="0" applyBorder="1" applyAlignment="1">
      <alignment vertical="top"/>
    </xf>
    <xf numFmtId="0" fontId="14" fillId="12" borderId="7" xfId="0" applyFont="1" applyFill="1" applyBorder="1" applyAlignment="1">
      <alignment horizontal="center" vertical="center" wrapText="1"/>
    </xf>
    <xf numFmtId="0" fontId="15" fillId="5" borderId="1" xfId="0" applyFont="1" applyFill="1" applyBorder="1" applyAlignment="1">
      <alignment horizontal="center" vertical="center" wrapText="1"/>
    </xf>
    <xf numFmtId="0" fontId="15" fillId="5" borderId="11" xfId="0" applyFont="1" applyFill="1" applyBorder="1" applyAlignment="1">
      <alignment horizontal="center" vertical="center" wrapText="1"/>
    </xf>
    <xf numFmtId="0" fontId="17" fillId="12" borderId="4" xfId="0" applyFont="1" applyFill="1" applyBorder="1" applyAlignment="1">
      <alignment horizontal="right" vertical="center" wrapText="1"/>
    </xf>
    <xf numFmtId="0" fontId="18" fillId="13" borderId="1" xfId="0" applyFont="1" applyFill="1" applyBorder="1" applyAlignment="1">
      <alignment horizontal="center" vertical="center" wrapText="1"/>
    </xf>
    <xf numFmtId="0" fontId="19" fillId="11" borderId="4" xfId="0" applyFont="1" applyFill="1" applyBorder="1" applyAlignment="1">
      <alignment horizontal="center" vertical="center"/>
    </xf>
    <xf numFmtId="164" fontId="16" fillId="4" borderId="4" xfId="0" applyNumberFormat="1" applyFont="1" applyFill="1" applyBorder="1" applyAlignment="1">
      <alignment horizontal="center" vertical="center"/>
    </xf>
    <xf numFmtId="164" fontId="0" fillId="5" borderId="12" xfId="0" applyNumberFormat="1" applyFill="1" applyBorder="1"/>
    <xf numFmtId="164" fontId="0" fillId="5" borderId="13" xfId="0" applyNumberFormat="1" applyFill="1" applyBorder="1"/>
    <xf numFmtId="164" fontId="0" fillId="5" borderId="14" xfId="0" applyNumberFormat="1" applyFill="1" applyBorder="1"/>
    <xf numFmtId="164" fontId="0" fillId="5" borderId="15" xfId="0" applyNumberFormat="1" applyFill="1" applyBorder="1"/>
    <xf numFmtId="164" fontId="0" fillId="14" borderId="16" xfId="0" applyNumberFormat="1" applyFill="1" applyBorder="1"/>
    <xf numFmtId="164" fontId="0" fillId="14" borderId="17" xfId="0" applyNumberFormat="1" applyFill="1" applyBorder="1"/>
    <xf numFmtId="0" fontId="10" fillId="5" borderId="18" xfId="0" applyFont="1" applyFill="1" applyBorder="1"/>
    <xf numFmtId="0" fontId="10" fillId="5" borderId="19" xfId="0" applyFont="1" applyFill="1" applyBorder="1"/>
    <xf numFmtId="0" fontId="10" fillId="12" borderId="20" xfId="0" applyFont="1" applyFill="1" applyBorder="1"/>
    <xf numFmtId="0" fontId="14" fillId="12" borderId="21" xfId="0" applyFont="1" applyFill="1" applyBorder="1" applyAlignment="1">
      <alignment horizontal="center" vertical="center" wrapText="1"/>
    </xf>
    <xf numFmtId="0" fontId="5" fillId="10" borderId="1" xfId="0" applyFont="1" applyFill="1" applyBorder="1" applyAlignment="1">
      <alignment vertical="center" wrapText="1"/>
    </xf>
    <xf numFmtId="0" fontId="0" fillId="0" borderId="5" xfId="0" applyBorder="1" applyAlignment="1">
      <alignment horizontal="left" vertical="top" wrapText="1"/>
    </xf>
    <xf numFmtId="0" fontId="0" fillId="0" borderId="2" xfId="0" applyBorder="1" applyAlignment="1">
      <alignment horizontal="left" vertical="top" wrapText="1"/>
    </xf>
  </cellXfs>
  <cellStyles count="1">
    <cellStyle name="Standaard" xfId="0" builtinId="0"/>
  </cellStyles>
  <dxfs count="0"/>
  <tableStyles count="0" defaultTableStyle="TableStyleMedium2" defaultPivotStyle="PivotStyleLight16"/>
  <colors>
    <mruColors>
      <color rgb="FFFF9999"/>
      <color rgb="FFCF5151"/>
      <color rgb="FFFFC7CE"/>
      <color rgb="FFC6EF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connections" Target="connection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4.xml"/></Relationships>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1F694-3691-49D2-9925-DCABBE62870B}">
  <dimension ref="B1:G7"/>
  <sheetViews>
    <sheetView tabSelected="1" zoomScale="115" zoomScaleNormal="115" workbookViewId="0">
      <selection activeCell="D12" sqref="D12"/>
    </sheetView>
  </sheetViews>
  <sheetFormatPr defaultRowHeight="15" x14ac:dyDescent="0.25"/>
  <cols>
    <col min="1" max="1" width="0.85546875" customWidth="1"/>
    <col min="2" max="2" width="11" customWidth="1"/>
    <col min="3" max="7" width="12.85546875" customWidth="1"/>
  </cols>
  <sheetData>
    <row r="1" spans="2:7" ht="6" customHeight="1" thickBot="1" x14ac:dyDescent="0.3"/>
    <row r="2" spans="2:7" ht="16.5" thickBot="1" x14ac:dyDescent="0.3">
      <c r="C2" s="40" t="s">
        <v>59</v>
      </c>
      <c r="D2" s="40" t="s">
        <v>59</v>
      </c>
      <c r="E2" s="40" t="s">
        <v>59</v>
      </c>
      <c r="F2" s="40" t="s">
        <v>59</v>
      </c>
      <c r="G2" s="40" t="s">
        <v>59</v>
      </c>
    </row>
    <row r="3" spans="2:7" x14ac:dyDescent="0.25">
      <c r="B3" s="37" t="s">
        <v>0</v>
      </c>
      <c r="C3" s="32">
        <f>'Rubric conceptfase'!$G$9</f>
        <v>0</v>
      </c>
      <c r="D3" s="33">
        <f>'Rubric conceptfase'!$G$9</f>
        <v>0</v>
      </c>
      <c r="E3" s="33">
        <f>'Rubric conceptfase'!$G$9</f>
        <v>0</v>
      </c>
      <c r="F3" s="33">
        <f>'Rubric conceptfase'!$G$9</f>
        <v>0</v>
      </c>
      <c r="G3" s="33">
        <f>'Rubric conceptfase'!$G$9</f>
        <v>0</v>
      </c>
    </row>
    <row r="4" spans="2:7" x14ac:dyDescent="0.25">
      <c r="B4" s="38" t="s">
        <v>1</v>
      </c>
      <c r="C4" s="34">
        <f>'Rubric productiefase VR'!H9</f>
        <v>0</v>
      </c>
      <c r="D4" s="31">
        <f>'Rubric productiefase VR'!I9</f>
        <v>0</v>
      </c>
      <c r="E4" s="31">
        <f>'Rubric productiefase VR'!J9</f>
        <v>0</v>
      </c>
      <c r="F4" s="31">
        <f>'Rubric productiefase VR'!K9</f>
        <v>0</v>
      </c>
      <c r="G4" s="31">
        <f>'Rubric productiefase VR'!L9</f>
        <v>0</v>
      </c>
    </row>
    <row r="5" spans="2:7" x14ac:dyDescent="0.25">
      <c r="B5" s="38" t="s">
        <v>2</v>
      </c>
      <c r="C5" s="34">
        <f>'Rubric productiefase TurnBased'!H9</f>
        <v>0</v>
      </c>
      <c r="D5" s="31">
        <f>'Rubric productiefase TurnBased'!I9</f>
        <v>0</v>
      </c>
      <c r="E5" s="31">
        <f>'Rubric productiefase TurnBased'!J9</f>
        <v>0</v>
      </c>
      <c r="F5" s="31">
        <f>'Rubric productiefase TurnBased'!K9</f>
        <v>0</v>
      </c>
      <c r="G5" s="31">
        <f>'Rubric productiefase TurnBased'!L9</f>
        <v>0</v>
      </c>
    </row>
    <row r="6" spans="2:7" x14ac:dyDescent="0.25">
      <c r="B6" s="38" t="s">
        <v>3</v>
      </c>
      <c r="C6" s="34">
        <f>'Rubric productiefase Physics'!H9</f>
        <v>0</v>
      </c>
      <c r="D6" s="31">
        <f>'Rubric productiefase Physics'!I9</f>
        <v>0</v>
      </c>
      <c r="E6" s="31">
        <f>'Rubric productiefase Physics'!J9</f>
        <v>0</v>
      </c>
      <c r="F6" s="31">
        <f>'Rubric productiefase Physics'!K9</f>
        <v>0</v>
      </c>
      <c r="G6" s="31">
        <f>'Rubric productiefase Physics'!L9</f>
        <v>0</v>
      </c>
    </row>
    <row r="7" spans="2:7" ht="15.75" thickBot="1" x14ac:dyDescent="0.3">
      <c r="B7" s="39" t="s">
        <v>4</v>
      </c>
      <c r="C7" s="35">
        <f>SUM(C3:C6)/4</f>
        <v>0</v>
      </c>
      <c r="D7" s="36">
        <f t="shared" ref="D7:G7" si="0">SUM(D3:D6)/4</f>
        <v>0</v>
      </c>
      <c r="E7" s="36">
        <f t="shared" si="0"/>
        <v>0</v>
      </c>
      <c r="F7" s="36">
        <f t="shared" si="0"/>
        <v>0</v>
      </c>
      <c r="G7" s="36">
        <f t="shared" si="0"/>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2BF29-433A-4DBB-995A-CA1AC0598BC8}">
  <dimension ref="B1:J9"/>
  <sheetViews>
    <sheetView zoomScale="70" zoomScaleNormal="70" workbookViewId="0">
      <selection activeCell="G9" sqref="G9"/>
    </sheetView>
  </sheetViews>
  <sheetFormatPr defaultRowHeight="15" x14ac:dyDescent="0.25"/>
  <cols>
    <col min="1" max="1" width="4" customWidth="1"/>
    <col min="2" max="2" width="19.42578125" customWidth="1"/>
    <col min="3" max="3" width="14" customWidth="1"/>
    <col min="4" max="6" width="40.140625" customWidth="1"/>
    <col min="7" max="7" width="11.28515625" customWidth="1"/>
    <col min="8" max="8" width="70.5703125" customWidth="1"/>
    <col min="9" max="9" width="2.28515625" customWidth="1"/>
    <col min="10" max="10" width="59.5703125" customWidth="1"/>
  </cols>
  <sheetData>
    <row r="1" spans="2:10" ht="15.75" thickBot="1" x14ac:dyDescent="0.3"/>
    <row r="2" spans="2:10" ht="46.5" customHeight="1" thickBot="1" x14ac:dyDescent="0.3">
      <c r="B2" s="12" t="s">
        <v>5</v>
      </c>
      <c r="C2" s="9" t="s">
        <v>6</v>
      </c>
      <c r="D2" s="15" t="s">
        <v>7</v>
      </c>
      <c r="E2" s="16" t="s">
        <v>8</v>
      </c>
      <c r="F2" s="17" t="s">
        <v>9</v>
      </c>
      <c r="G2" s="24" t="s">
        <v>10</v>
      </c>
      <c r="H2" s="18" t="s">
        <v>11</v>
      </c>
      <c r="I2" s="13"/>
      <c r="J2" s="21" t="s">
        <v>12</v>
      </c>
    </row>
    <row r="3" spans="2:10" ht="92.45" customHeight="1" x14ac:dyDescent="0.25">
      <c r="B3" s="1" t="s">
        <v>13</v>
      </c>
      <c r="C3" s="10" t="s">
        <v>14</v>
      </c>
      <c r="D3" s="2" t="s">
        <v>15</v>
      </c>
      <c r="E3" s="3" t="s">
        <v>16</v>
      </c>
      <c r="F3" s="5" t="s">
        <v>17</v>
      </c>
      <c r="G3" s="25"/>
      <c r="H3" s="19"/>
      <c r="I3" s="14"/>
      <c r="J3" s="42" t="s">
        <v>18</v>
      </c>
    </row>
    <row r="4" spans="2:10" ht="92.45" customHeight="1" x14ac:dyDescent="0.25">
      <c r="B4" s="1" t="s">
        <v>19</v>
      </c>
      <c r="C4" s="10" t="s">
        <v>14</v>
      </c>
      <c r="D4" s="3" t="s">
        <v>20</v>
      </c>
      <c r="E4" s="3" t="s">
        <v>21</v>
      </c>
      <c r="F4" s="5" t="s">
        <v>17</v>
      </c>
      <c r="G4" s="25"/>
      <c r="H4" s="19"/>
      <c r="I4" s="14"/>
      <c r="J4" s="43"/>
    </row>
    <row r="5" spans="2:10" ht="131.25" customHeight="1" x14ac:dyDescent="0.25">
      <c r="B5" s="1" t="s">
        <v>22</v>
      </c>
      <c r="C5" s="10" t="s">
        <v>14</v>
      </c>
      <c r="D5" s="3" t="s">
        <v>23</v>
      </c>
      <c r="E5" s="3" t="s">
        <v>24</v>
      </c>
      <c r="F5" s="5" t="s">
        <v>25</v>
      </c>
      <c r="G5" s="25"/>
      <c r="H5" s="41"/>
      <c r="I5" s="14"/>
      <c r="J5" s="22"/>
    </row>
    <row r="6" spans="2:10" ht="92.45" customHeight="1" x14ac:dyDescent="0.25">
      <c r="B6" s="1" t="s">
        <v>26</v>
      </c>
      <c r="C6" s="10" t="s">
        <v>14</v>
      </c>
      <c r="D6" s="3" t="s">
        <v>23</v>
      </c>
      <c r="E6" s="3" t="s">
        <v>24</v>
      </c>
      <c r="F6" s="5" t="s">
        <v>25</v>
      </c>
      <c r="G6" s="25"/>
      <c r="H6" s="19"/>
      <c r="I6" s="14"/>
      <c r="J6" s="22"/>
    </row>
    <row r="7" spans="2:10" ht="92.45" customHeight="1" x14ac:dyDescent="0.25">
      <c r="B7" s="1" t="s">
        <v>27</v>
      </c>
      <c r="C7" s="10" t="s">
        <v>14</v>
      </c>
      <c r="D7" s="3" t="s">
        <v>23</v>
      </c>
      <c r="E7" s="3" t="s">
        <v>24</v>
      </c>
      <c r="F7" s="5" t="s">
        <v>25</v>
      </c>
      <c r="G7" s="25"/>
      <c r="H7" s="19"/>
      <c r="I7" s="14"/>
      <c r="J7" s="22"/>
    </row>
    <row r="8" spans="2:10" ht="92.45" customHeight="1" x14ac:dyDescent="0.25">
      <c r="B8" s="1" t="s">
        <v>28</v>
      </c>
      <c r="C8" s="10" t="s">
        <v>14</v>
      </c>
      <c r="D8" s="2" t="s">
        <v>29</v>
      </c>
      <c r="E8" s="4" t="s">
        <v>30</v>
      </c>
      <c r="F8" s="11" t="s">
        <v>31</v>
      </c>
      <c r="G8" s="26"/>
      <c r="H8" s="20"/>
      <c r="I8" s="14"/>
      <c r="J8" s="23"/>
    </row>
    <row r="9" spans="2:10" ht="41.1" customHeight="1" thickBot="1" x14ac:dyDescent="0.3">
      <c r="F9" s="27" t="s">
        <v>32</v>
      </c>
      <c r="G9" s="30">
        <f>SUM(G3:G8)/1.8</f>
        <v>0</v>
      </c>
    </row>
  </sheetData>
  <mergeCells count="1">
    <mergeCell ref="J3:J4"/>
  </mergeCells>
  <pageMargins left="0.7" right="0.7" top="0.75" bottom="0.75" header="0.3" footer="0.3"/>
  <pageSetup paperSize="9"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E924F-A1CD-4054-91D9-751D5A0D2F89}">
  <dimension ref="B1:O9"/>
  <sheetViews>
    <sheetView topLeftCell="E2" zoomScale="70" zoomScaleNormal="70" workbookViewId="0">
      <selection activeCell="L2" sqref="L2"/>
    </sheetView>
  </sheetViews>
  <sheetFormatPr defaultRowHeight="15" customHeight="1" x14ac:dyDescent="0.25"/>
  <cols>
    <col min="1" max="1" width="4" customWidth="1"/>
    <col min="2" max="2" width="17.140625" customWidth="1"/>
    <col min="3" max="3" width="14" customWidth="1"/>
    <col min="4" max="4" width="52.28515625" customWidth="1"/>
    <col min="5" max="6" width="40.140625" customWidth="1"/>
    <col min="7" max="12" width="11.28515625" customWidth="1"/>
    <col min="13" max="13" width="70.5703125" customWidth="1"/>
    <col min="14" max="14" width="2.28515625" customWidth="1"/>
    <col min="15" max="15" width="55.85546875" customWidth="1"/>
  </cols>
  <sheetData>
    <row r="1" spans="2:15" ht="15.75" thickBot="1" x14ac:dyDescent="0.3"/>
    <row r="2" spans="2:15" ht="51" customHeight="1" thickBot="1" x14ac:dyDescent="0.3">
      <c r="B2" s="12" t="s">
        <v>5</v>
      </c>
      <c r="C2" s="9" t="s">
        <v>6</v>
      </c>
      <c r="D2" s="8" t="s">
        <v>7</v>
      </c>
      <c r="E2" s="6" t="s">
        <v>8</v>
      </c>
      <c r="F2" s="7" t="s">
        <v>9</v>
      </c>
      <c r="G2" s="24" t="s">
        <v>33</v>
      </c>
      <c r="H2" s="40" t="s">
        <v>59</v>
      </c>
      <c r="I2" s="40" t="s">
        <v>59</v>
      </c>
      <c r="J2" s="40" t="s">
        <v>59</v>
      </c>
      <c r="K2" s="40" t="s">
        <v>59</v>
      </c>
      <c r="L2" s="40" t="s">
        <v>59</v>
      </c>
      <c r="M2" s="18" t="s">
        <v>11</v>
      </c>
      <c r="N2" s="13"/>
      <c r="O2" s="21" t="s">
        <v>12</v>
      </c>
    </row>
    <row r="3" spans="2:15" ht="112.5" customHeight="1" thickBot="1" x14ac:dyDescent="0.3">
      <c r="B3" s="1" t="s">
        <v>34</v>
      </c>
      <c r="C3" s="10" t="s">
        <v>14</v>
      </c>
      <c r="D3" s="2" t="s">
        <v>35</v>
      </c>
      <c r="E3" s="3" t="s">
        <v>36</v>
      </c>
      <c r="F3" s="5" t="s">
        <v>37</v>
      </c>
      <c r="G3" s="28" t="s">
        <v>38</v>
      </c>
      <c r="H3" s="25">
        <v>0</v>
      </c>
      <c r="I3" s="25">
        <v>0</v>
      </c>
      <c r="J3" s="25">
        <v>0</v>
      </c>
      <c r="K3" s="25">
        <v>0</v>
      </c>
      <c r="L3" s="25">
        <v>0</v>
      </c>
      <c r="M3" s="19"/>
      <c r="N3" s="14"/>
      <c r="O3" s="42" t="s">
        <v>18</v>
      </c>
    </row>
    <row r="4" spans="2:15" ht="112.5" customHeight="1" thickBot="1" x14ac:dyDescent="0.3">
      <c r="B4" s="1" t="s">
        <v>39</v>
      </c>
      <c r="C4" s="10" t="s">
        <v>14</v>
      </c>
      <c r="D4" s="3" t="s">
        <v>40</v>
      </c>
      <c r="E4" s="3" t="s">
        <v>41</v>
      </c>
      <c r="F4" s="5" t="s">
        <v>42</v>
      </c>
      <c r="G4" s="28" t="s">
        <v>38</v>
      </c>
      <c r="H4" s="25">
        <v>0</v>
      </c>
      <c r="I4" s="25">
        <v>0</v>
      </c>
      <c r="J4" s="25">
        <v>0</v>
      </c>
      <c r="K4" s="25">
        <v>0</v>
      </c>
      <c r="L4" s="25">
        <v>0</v>
      </c>
      <c r="M4" s="19"/>
      <c r="N4" s="14"/>
      <c r="O4" s="43"/>
    </row>
    <row r="5" spans="2:15" ht="112.5" customHeight="1" thickBot="1" x14ac:dyDescent="0.3">
      <c r="B5" s="1" t="s">
        <v>43</v>
      </c>
      <c r="C5" s="10" t="s">
        <v>14</v>
      </c>
      <c r="D5" s="3" t="s">
        <v>44</v>
      </c>
      <c r="E5" s="3" t="s">
        <v>45</v>
      </c>
      <c r="F5" s="5" t="s">
        <v>46</v>
      </c>
      <c r="G5" s="25">
        <v>0</v>
      </c>
      <c r="H5" s="28">
        <f>G5</f>
        <v>0</v>
      </c>
      <c r="I5" s="28">
        <f t="shared" ref="I5:L5" si="0">H5</f>
        <v>0</v>
      </c>
      <c r="J5" s="28">
        <f t="shared" si="0"/>
        <v>0</v>
      </c>
      <c r="K5" s="28">
        <f t="shared" si="0"/>
        <v>0</v>
      </c>
      <c r="L5" s="28">
        <f t="shared" si="0"/>
        <v>0</v>
      </c>
      <c r="M5" s="19"/>
      <c r="N5" s="14"/>
      <c r="O5" s="22"/>
    </row>
    <row r="6" spans="2:15" ht="112.5" customHeight="1" thickBot="1" x14ac:dyDescent="0.3">
      <c r="B6" s="1" t="s">
        <v>47</v>
      </c>
      <c r="C6" s="10" t="s">
        <v>14</v>
      </c>
      <c r="D6" s="3" t="s">
        <v>48</v>
      </c>
      <c r="E6" s="3" t="s">
        <v>49</v>
      </c>
      <c r="F6" s="5" t="s">
        <v>50</v>
      </c>
      <c r="G6" s="25">
        <v>0</v>
      </c>
      <c r="H6" s="28">
        <f t="shared" ref="H6:L8" si="1">G6</f>
        <v>0</v>
      </c>
      <c r="I6" s="28">
        <f t="shared" si="1"/>
        <v>0</v>
      </c>
      <c r="J6" s="28">
        <f t="shared" si="1"/>
        <v>0</v>
      </c>
      <c r="K6" s="28">
        <f t="shared" si="1"/>
        <v>0</v>
      </c>
      <c r="L6" s="28">
        <f t="shared" si="1"/>
        <v>0</v>
      </c>
      <c r="M6" s="19"/>
      <c r="N6" s="14"/>
      <c r="O6" s="22"/>
    </row>
    <row r="7" spans="2:15" ht="112.5" customHeight="1" thickBot="1" x14ac:dyDescent="0.3">
      <c r="B7" s="1" t="s">
        <v>51</v>
      </c>
      <c r="C7" s="10" t="s">
        <v>14</v>
      </c>
      <c r="D7" s="3" t="s">
        <v>52</v>
      </c>
      <c r="E7" s="3" t="s">
        <v>53</v>
      </c>
      <c r="F7" s="5" t="s">
        <v>54</v>
      </c>
      <c r="G7" s="25">
        <v>0</v>
      </c>
      <c r="H7" s="28">
        <f t="shared" si="1"/>
        <v>0</v>
      </c>
      <c r="I7" s="28">
        <f t="shared" si="1"/>
        <v>0</v>
      </c>
      <c r="J7" s="28">
        <f t="shared" si="1"/>
        <v>0</v>
      </c>
      <c r="K7" s="28">
        <f t="shared" si="1"/>
        <v>0</v>
      </c>
      <c r="L7" s="28">
        <f t="shared" si="1"/>
        <v>0</v>
      </c>
      <c r="M7" s="19"/>
      <c r="N7" s="14"/>
      <c r="O7" s="22"/>
    </row>
    <row r="8" spans="2:15" ht="112.5" customHeight="1" thickBot="1" x14ac:dyDescent="0.3">
      <c r="B8" s="1" t="s">
        <v>55</v>
      </c>
      <c r="C8" s="10" t="s">
        <v>14</v>
      </c>
      <c r="D8" s="3" t="s">
        <v>56</v>
      </c>
      <c r="E8" s="3" t="s">
        <v>57</v>
      </c>
      <c r="F8" s="5" t="s">
        <v>58</v>
      </c>
      <c r="G8" s="25">
        <v>0</v>
      </c>
      <c r="H8" s="28">
        <f t="shared" si="1"/>
        <v>0</v>
      </c>
      <c r="I8" s="28">
        <f t="shared" si="1"/>
        <v>0</v>
      </c>
      <c r="J8" s="28">
        <f t="shared" si="1"/>
        <v>0</v>
      </c>
      <c r="K8" s="28">
        <f t="shared" si="1"/>
        <v>0</v>
      </c>
      <c r="L8" s="28">
        <f t="shared" si="1"/>
        <v>0</v>
      </c>
      <c r="M8" s="20"/>
      <c r="N8" s="14"/>
      <c r="O8" s="23"/>
    </row>
    <row r="9" spans="2:15" ht="41.1" customHeight="1" thickBot="1" x14ac:dyDescent="0.3">
      <c r="F9" s="27" t="s">
        <v>32</v>
      </c>
      <c r="G9" s="29" t="s">
        <v>38</v>
      </c>
      <c r="H9" s="30">
        <f>SUM(H3,H4,$G$5,$G$6,$G$7)/1.5</f>
        <v>0</v>
      </c>
      <c r="I9" s="30">
        <f t="shared" ref="I9:L9" si="2">SUM(I3,I4,$G$5,$G$6,$G$7)/1.5</f>
        <v>0</v>
      </c>
      <c r="J9" s="30">
        <f t="shared" si="2"/>
        <v>0</v>
      </c>
      <c r="K9" s="30">
        <f t="shared" si="2"/>
        <v>0</v>
      </c>
      <c r="L9" s="30">
        <f t="shared" si="2"/>
        <v>0</v>
      </c>
    </row>
  </sheetData>
  <mergeCells count="1">
    <mergeCell ref="O3:O4"/>
  </mergeCells>
  <pageMargins left="0.7" right="0.7" top="0.75" bottom="0.75" header="0.3" footer="0.3"/>
  <pageSetup paperSize="9"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2EF83-D8E7-4C62-8800-A9900D50FE1B}">
  <dimension ref="B1:O9"/>
  <sheetViews>
    <sheetView topLeftCell="D1" zoomScale="85" zoomScaleNormal="85" workbookViewId="0">
      <selection activeCell="L2" sqref="L2"/>
    </sheetView>
  </sheetViews>
  <sheetFormatPr defaultRowHeight="15" x14ac:dyDescent="0.25"/>
  <cols>
    <col min="1" max="1" width="4" customWidth="1"/>
    <col min="2" max="2" width="17.140625" customWidth="1"/>
    <col min="3" max="3" width="14" customWidth="1"/>
    <col min="4" max="4" width="46.5703125" customWidth="1"/>
    <col min="5" max="6" width="40.140625" customWidth="1"/>
    <col min="7" max="12" width="11.28515625" customWidth="1"/>
    <col min="13" max="13" width="70.5703125" customWidth="1"/>
    <col min="14" max="14" width="2.28515625" customWidth="1"/>
    <col min="15" max="15" width="55.85546875" customWidth="1"/>
  </cols>
  <sheetData>
    <row r="1" spans="2:15" ht="15.75" thickBot="1" x14ac:dyDescent="0.3"/>
    <row r="2" spans="2:15" ht="51" customHeight="1" thickBot="1" x14ac:dyDescent="0.3">
      <c r="B2" s="12" t="s">
        <v>5</v>
      </c>
      <c r="C2" s="9" t="s">
        <v>6</v>
      </c>
      <c r="D2" s="8" t="s">
        <v>7</v>
      </c>
      <c r="E2" s="6" t="s">
        <v>8</v>
      </c>
      <c r="F2" s="7" t="s">
        <v>9</v>
      </c>
      <c r="G2" s="24" t="s">
        <v>33</v>
      </c>
      <c r="H2" s="40" t="s">
        <v>59</v>
      </c>
      <c r="I2" s="40" t="s">
        <v>59</v>
      </c>
      <c r="J2" s="40" t="s">
        <v>59</v>
      </c>
      <c r="K2" s="40" t="s">
        <v>59</v>
      </c>
      <c r="L2" s="40" t="s">
        <v>59</v>
      </c>
      <c r="M2" s="18" t="s">
        <v>11</v>
      </c>
      <c r="N2" s="13"/>
      <c r="O2" s="21" t="s">
        <v>12</v>
      </c>
    </row>
    <row r="3" spans="2:15" ht="112.5" customHeight="1" thickBot="1" x14ac:dyDescent="0.3">
      <c r="B3" s="1" t="s">
        <v>34</v>
      </c>
      <c r="C3" s="10" t="s">
        <v>14</v>
      </c>
      <c r="D3" s="2" t="s">
        <v>35</v>
      </c>
      <c r="E3" s="3" t="s">
        <v>36</v>
      </c>
      <c r="F3" s="5" t="s">
        <v>37</v>
      </c>
      <c r="G3" s="28" t="s">
        <v>38</v>
      </c>
      <c r="H3" s="25">
        <v>0</v>
      </c>
      <c r="I3" s="25">
        <v>0</v>
      </c>
      <c r="J3" s="25">
        <v>0</v>
      </c>
      <c r="K3" s="25">
        <v>0</v>
      </c>
      <c r="L3" s="25">
        <v>0</v>
      </c>
      <c r="M3" s="19"/>
      <c r="N3" s="14"/>
      <c r="O3" s="42" t="s">
        <v>18</v>
      </c>
    </row>
    <row r="4" spans="2:15" ht="112.5" customHeight="1" thickBot="1" x14ac:dyDescent="0.3">
      <c r="B4" s="1" t="s">
        <v>39</v>
      </c>
      <c r="C4" s="10" t="s">
        <v>14</v>
      </c>
      <c r="D4" s="3" t="s">
        <v>40</v>
      </c>
      <c r="E4" s="3" t="s">
        <v>41</v>
      </c>
      <c r="F4" s="5" t="s">
        <v>42</v>
      </c>
      <c r="G4" s="28" t="s">
        <v>38</v>
      </c>
      <c r="H4" s="25">
        <v>0</v>
      </c>
      <c r="I4" s="25">
        <v>0</v>
      </c>
      <c r="J4" s="25">
        <v>0</v>
      </c>
      <c r="K4" s="25">
        <v>0</v>
      </c>
      <c r="L4" s="25">
        <v>0</v>
      </c>
      <c r="M4" s="19"/>
      <c r="N4" s="14"/>
      <c r="O4" s="43"/>
    </row>
    <row r="5" spans="2:15" ht="112.5" customHeight="1" thickBot="1" x14ac:dyDescent="0.3">
      <c r="B5" s="1" t="s">
        <v>43</v>
      </c>
      <c r="C5" s="10" t="s">
        <v>14</v>
      </c>
      <c r="D5" s="3" t="s">
        <v>44</v>
      </c>
      <c r="E5" s="3" t="s">
        <v>45</v>
      </c>
      <c r="F5" s="5" t="s">
        <v>46</v>
      </c>
      <c r="G5" s="25">
        <v>0</v>
      </c>
      <c r="H5" s="28">
        <f>G5</f>
        <v>0</v>
      </c>
      <c r="I5" s="28">
        <f t="shared" ref="I5:L5" si="0">H5</f>
        <v>0</v>
      </c>
      <c r="J5" s="28">
        <f t="shared" si="0"/>
        <v>0</v>
      </c>
      <c r="K5" s="28">
        <f t="shared" si="0"/>
        <v>0</v>
      </c>
      <c r="L5" s="28">
        <f t="shared" si="0"/>
        <v>0</v>
      </c>
      <c r="M5" s="19"/>
      <c r="N5" s="14"/>
      <c r="O5" s="22"/>
    </row>
    <row r="6" spans="2:15" ht="112.5" customHeight="1" thickBot="1" x14ac:dyDescent="0.3">
      <c r="B6" s="1" t="s">
        <v>47</v>
      </c>
      <c r="C6" s="10" t="s">
        <v>14</v>
      </c>
      <c r="D6" s="3" t="s">
        <v>48</v>
      </c>
      <c r="E6" s="3" t="s">
        <v>49</v>
      </c>
      <c r="F6" s="5" t="s">
        <v>50</v>
      </c>
      <c r="G6" s="25">
        <v>0</v>
      </c>
      <c r="H6" s="28">
        <f t="shared" ref="H6:L8" si="1">G6</f>
        <v>0</v>
      </c>
      <c r="I6" s="28">
        <f t="shared" si="1"/>
        <v>0</v>
      </c>
      <c r="J6" s="28">
        <f t="shared" si="1"/>
        <v>0</v>
      </c>
      <c r="K6" s="28">
        <f t="shared" si="1"/>
        <v>0</v>
      </c>
      <c r="L6" s="28">
        <f t="shared" si="1"/>
        <v>0</v>
      </c>
      <c r="M6" s="19"/>
      <c r="N6" s="14"/>
      <c r="O6" s="22"/>
    </row>
    <row r="7" spans="2:15" ht="112.5" customHeight="1" thickBot="1" x14ac:dyDescent="0.3">
      <c r="B7" s="1" t="s">
        <v>51</v>
      </c>
      <c r="C7" s="10" t="s">
        <v>14</v>
      </c>
      <c r="D7" s="3" t="s">
        <v>52</v>
      </c>
      <c r="E7" s="3" t="s">
        <v>53</v>
      </c>
      <c r="F7" s="5" t="s">
        <v>54</v>
      </c>
      <c r="G7" s="25">
        <v>0</v>
      </c>
      <c r="H7" s="28">
        <f t="shared" si="1"/>
        <v>0</v>
      </c>
      <c r="I7" s="28">
        <f t="shared" si="1"/>
        <v>0</v>
      </c>
      <c r="J7" s="28">
        <f t="shared" si="1"/>
        <v>0</v>
      </c>
      <c r="K7" s="28">
        <f t="shared" si="1"/>
        <v>0</v>
      </c>
      <c r="L7" s="28">
        <f t="shared" si="1"/>
        <v>0</v>
      </c>
      <c r="M7" s="19"/>
      <c r="N7" s="14"/>
      <c r="O7" s="22"/>
    </row>
    <row r="8" spans="2:15" ht="112.5" customHeight="1" thickBot="1" x14ac:dyDescent="0.3">
      <c r="B8" s="1" t="s">
        <v>55</v>
      </c>
      <c r="C8" s="10" t="s">
        <v>14</v>
      </c>
      <c r="D8" s="3" t="s">
        <v>56</v>
      </c>
      <c r="E8" s="3" t="s">
        <v>57</v>
      </c>
      <c r="F8" s="5" t="s">
        <v>58</v>
      </c>
      <c r="G8" s="25">
        <v>0</v>
      </c>
      <c r="H8" s="28">
        <f t="shared" si="1"/>
        <v>0</v>
      </c>
      <c r="I8" s="28">
        <f t="shared" si="1"/>
        <v>0</v>
      </c>
      <c r="J8" s="28">
        <f t="shared" si="1"/>
        <v>0</v>
      </c>
      <c r="K8" s="28">
        <f t="shared" si="1"/>
        <v>0</v>
      </c>
      <c r="L8" s="28">
        <f t="shared" si="1"/>
        <v>0</v>
      </c>
      <c r="M8" s="20"/>
      <c r="N8" s="14"/>
      <c r="O8" s="23"/>
    </row>
    <row r="9" spans="2:15" ht="41.1" customHeight="1" thickBot="1" x14ac:dyDescent="0.3">
      <c r="F9" s="27" t="s">
        <v>32</v>
      </c>
      <c r="G9" s="29" t="s">
        <v>38</v>
      </c>
      <c r="H9" s="30">
        <f>SUM(H3,H4,$G$5,$G$6,$G$7)/1.5+(G8/6)</f>
        <v>0</v>
      </c>
      <c r="I9" s="30">
        <f t="shared" ref="I9:L9" si="2">SUM(I3,I4,$G$5,$G$6,$G$7)/1.5+(H8/6)</f>
        <v>0</v>
      </c>
      <c r="J9" s="30">
        <f t="shared" si="2"/>
        <v>0</v>
      </c>
      <c r="K9" s="30">
        <f t="shared" si="2"/>
        <v>0</v>
      </c>
      <c r="L9" s="30">
        <f t="shared" si="2"/>
        <v>0</v>
      </c>
    </row>
  </sheetData>
  <mergeCells count="1">
    <mergeCell ref="O3:O4"/>
  </mergeCells>
  <pageMargins left="0.7" right="0.7" top="0.75" bottom="0.75" header="0.3" footer="0.3"/>
  <pageSetup paperSize="9"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29CE5-02DF-4A0C-80F5-80CF1492CC82}">
  <dimension ref="B1:O9"/>
  <sheetViews>
    <sheetView topLeftCell="E2" zoomScale="70" zoomScaleNormal="70" workbookViewId="0">
      <selection activeCell="L2" sqref="L2"/>
    </sheetView>
  </sheetViews>
  <sheetFormatPr defaultRowHeight="15" x14ac:dyDescent="0.25"/>
  <cols>
    <col min="1" max="1" width="4" customWidth="1"/>
    <col min="2" max="2" width="17.140625" customWidth="1"/>
    <col min="3" max="3" width="14" customWidth="1"/>
    <col min="4" max="6" width="40.140625" customWidth="1"/>
    <col min="7" max="12" width="11.28515625" customWidth="1"/>
    <col min="13" max="13" width="70.5703125" customWidth="1"/>
    <col min="14" max="14" width="2.28515625" customWidth="1"/>
    <col min="15" max="15" width="55.85546875" customWidth="1"/>
  </cols>
  <sheetData>
    <row r="1" spans="2:15" ht="15.75" thickBot="1" x14ac:dyDescent="0.3"/>
    <row r="2" spans="2:15" ht="51" customHeight="1" thickBot="1" x14ac:dyDescent="0.3">
      <c r="B2" s="12" t="s">
        <v>5</v>
      </c>
      <c r="C2" s="9" t="s">
        <v>6</v>
      </c>
      <c r="D2" s="8" t="s">
        <v>7</v>
      </c>
      <c r="E2" s="6" t="s">
        <v>8</v>
      </c>
      <c r="F2" s="7" t="s">
        <v>9</v>
      </c>
      <c r="G2" s="24" t="s">
        <v>33</v>
      </c>
      <c r="H2" s="40" t="s">
        <v>59</v>
      </c>
      <c r="I2" s="40" t="s">
        <v>59</v>
      </c>
      <c r="J2" s="40" t="s">
        <v>59</v>
      </c>
      <c r="K2" s="40" t="s">
        <v>59</v>
      </c>
      <c r="L2" s="40" t="s">
        <v>59</v>
      </c>
      <c r="M2" s="18" t="s">
        <v>11</v>
      </c>
      <c r="N2" s="13"/>
      <c r="O2" s="21" t="s">
        <v>12</v>
      </c>
    </row>
    <row r="3" spans="2:15" ht="112.5" customHeight="1" thickBot="1" x14ac:dyDescent="0.3">
      <c r="B3" s="1" t="s">
        <v>34</v>
      </c>
      <c r="C3" s="10" t="s">
        <v>14</v>
      </c>
      <c r="D3" s="2" t="s">
        <v>35</v>
      </c>
      <c r="E3" s="3" t="s">
        <v>36</v>
      </c>
      <c r="F3" s="5" t="s">
        <v>37</v>
      </c>
      <c r="G3" s="28" t="s">
        <v>38</v>
      </c>
      <c r="H3" s="25">
        <v>0</v>
      </c>
      <c r="I3" s="25">
        <v>0</v>
      </c>
      <c r="J3" s="25">
        <v>0</v>
      </c>
      <c r="K3" s="25">
        <v>0</v>
      </c>
      <c r="L3" s="25">
        <v>0</v>
      </c>
      <c r="M3" s="19"/>
      <c r="N3" s="14"/>
      <c r="O3" s="42" t="s">
        <v>18</v>
      </c>
    </row>
    <row r="4" spans="2:15" ht="112.5" customHeight="1" thickBot="1" x14ac:dyDescent="0.3">
      <c r="B4" s="1" t="s">
        <v>39</v>
      </c>
      <c r="C4" s="10" t="s">
        <v>14</v>
      </c>
      <c r="D4" s="3" t="s">
        <v>40</v>
      </c>
      <c r="E4" s="3" t="s">
        <v>41</v>
      </c>
      <c r="F4" s="5" t="s">
        <v>42</v>
      </c>
      <c r="G4" s="28" t="s">
        <v>38</v>
      </c>
      <c r="H4" s="25">
        <v>0</v>
      </c>
      <c r="I4" s="25">
        <v>0</v>
      </c>
      <c r="J4" s="25">
        <v>0</v>
      </c>
      <c r="K4" s="25">
        <v>0</v>
      </c>
      <c r="L4" s="25">
        <v>0</v>
      </c>
      <c r="M4" s="19"/>
      <c r="N4" s="14"/>
      <c r="O4" s="43"/>
    </row>
    <row r="5" spans="2:15" ht="112.5" customHeight="1" thickBot="1" x14ac:dyDescent="0.3">
      <c r="B5" s="1" t="s">
        <v>43</v>
      </c>
      <c r="C5" s="10" t="s">
        <v>14</v>
      </c>
      <c r="D5" s="3" t="s">
        <v>44</v>
      </c>
      <c r="E5" s="3" t="s">
        <v>45</v>
      </c>
      <c r="F5" s="5" t="s">
        <v>46</v>
      </c>
      <c r="G5" s="25">
        <v>0</v>
      </c>
      <c r="H5" s="28">
        <f>G5</f>
        <v>0</v>
      </c>
      <c r="I5" s="28">
        <f t="shared" ref="I5:L5" si="0">H5</f>
        <v>0</v>
      </c>
      <c r="J5" s="28">
        <f t="shared" si="0"/>
        <v>0</v>
      </c>
      <c r="K5" s="28">
        <f t="shared" si="0"/>
        <v>0</v>
      </c>
      <c r="L5" s="28">
        <f t="shared" si="0"/>
        <v>0</v>
      </c>
      <c r="M5" s="19"/>
      <c r="N5" s="14"/>
      <c r="O5" s="22"/>
    </row>
    <row r="6" spans="2:15" ht="112.5" customHeight="1" thickBot="1" x14ac:dyDescent="0.3">
      <c r="B6" s="1" t="s">
        <v>47</v>
      </c>
      <c r="C6" s="10" t="s">
        <v>14</v>
      </c>
      <c r="D6" s="3" t="s">
        <v>48</v>
      </c>
      <c r="E6" s="3" t="s">
        <v>49</v>
      </c>
      <c r="F6" s="5" t="s">
        <v>50</v>
      </c>
      <c r="G6" s="25">
        <v>0</v>
      </c>
      <c r="H6" s="28">
        <f t="shared" ref="H6:L8" si="1">G6</f>
        <v>0</v>
      </c>
      <c r="I6" s="28">
        <f t="shared" si="1"/>
        <v>0</v>
      </c>
      <c r="J6" s="28">
        <f t="shared" si="1"/>
        <v>0</v>
      </c>
      <c r="K6" s="28">
        <f t="shared" si="1"/>
        <v>0</v>
      </c>
      <c r="L6" s="28">
        <f t="shared" si="1"/>
        <v>0</v>
      </c>
      <c r="M6" s="19"/>
      <c r="N6" s="14"/>
      <c r="O6" s="22"/>
    </row>
    <row r="7" spans="2:15" ht="112.5" customHeight="1" thickBot="1" x14ac:dyDescent="0.3">
      <c r="B7" s="1" t="s">
        <v>51</v>
      </c>
      <c r="C7" s="10" t="s">
        <v>14</v>
      </c>
      <c r="D7" s="3" t="s">
        <v>52</v>
      </c>
      <c r="E7" s="3" t="s">
        <v>53</v>
      </c>
      <c r="F7" s="5" t="s">
        <v>54</v>
      </c>
      <c r="G7" s="25">
        <v>0</v>
      </c>
      <c r="H7" s="28">
        <f t="shared" si="1"/>
        <v>0</v>
      </c>
      <c r="I7" s="28">
        <f t="shared" si="1"/>
        <v>0</v>
      </c>
      <c r="J7" s="28">
        <f t="shared" si="1"/>
        <v>0</v>
      </c>
      <c r="K7" s="28">
        <f t="shared" si="1"/>
        <v>0</v>
      </c>
      <c r="L7" s="28">
        <f t="shared" si="1"/>
        <v>0</v>
      </c>
      <c r="M7" s="19"/>
      <c r="N7" s="14"/>
      <c r="O7" s="22"/>
    </row>
    <row r="8" spans="2:15" ht="112.5" customHeight="1" thickBot="1" x14ac:dyDescent="0.3">
      <c r="B8" s="1" t="s">
        <v>55</v>
      </c>
      <c r="C8" s="10" t="s">
        <v>14</v>
      </c>
      <c r="D8" s="3" t="s">
        <v>56</v>
      </c>
      <c r="E8" s="3" t="s">
        <v>57</v>
      </c>
      <c r="F8" s="5" t="s">
        <v>58</v>
      </c>
      <c r="G8" s="25">
        <v>0</v>
      </c>
      <c r="H8" s="28">
        <f t="shared" si="1"/>
        <v>0</v>
      </c>
      <c r="I8" s="28">
        <f t="shared" si="1"/>
        <v>0</v>
      </c>
      <c r="J8" s="28">
        <f t="shared" si="1"/>
        <v>0</v>
      </c>
      <c r="K8" s="28">
        <f t="shared" si="1"/>
        <v>0</v>
      </c>
      <c r="L8" s="28">
        <f t="shared" si="1"/>
        <v>0</v>
      </c>
      <c r="M8" s="20"/>
      <c r="N8" s="14"/>
      <c r="O8" s="23"/>
    </row>
    <row r="9" spans="2:15" ht="41.1" customHeight="1" thickBot="1" x14ac:dyDescent="0.3">
      <c r="F9" s="27" t="s">
        <v>32</v>
      </c>
      <c r="G9" s="29" t="s">
        <v>38</v>
      </c>
      <c r="H9" s="30">
        <f>SUM(H3,H4,$G$5,$G$6,$G$7)/1.5+(G8/6)</f>
        <v>0</v>
      </c>
      <c r="I9" s="30">
        <f t="shared" ref="I9:L9" si="2">SUM(I3,I4,$G$5,$G$6,$G$7)/1.5+(H8/6)</f>
        <v>0</v>
      </c>
      <c r="J9" s="30">
        <f t="shared" si="2"/>
        <v>0</v>
      </c>
      <c r="K9" s="30">
        <f t="shared" si="2"/>
        <v>0</v>
      </c>
      <c r="L9" s="30">
        <f t="shared" si="2"/>
        <v>0</v>
      </c>
    </row>
  </sheetData>
  <mergeCells count="1">
    <mergeCell ref="O3:O4"/>
  </mergeCells>
  <pageMargins left="0.7" right="0.7" top="0.75" bottom="0.75" header="0.3" footer="0.3"/>
  <pageSetup paperSize="9"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5BDCF39D04FAA4E82051AFDE0236CFD" ma:contentTypeVersion="3" ma:contentTypeDescription="Een nieuw document maken." ma:contentTypeScope="" ma:versionID="d6b3c6e693b8e5340d5aede4ff60847c">
  <xsd:schema xmlns:xsd="http://www.w3.org/2001/XMLSchema" xmlns:xs="http://www.w3.org/2001/XMLSchema" xmlns:p="http://schemas.microsoft.com/office/2006/metadata/properties" xmlns:ns2="c6896873-bc81-4df6-837a-c8ab31652155" targetNamespace="http://schemas.microsoft.com/office/2006/metadata/properties" ma:root="true" ma:fieldsID="3a0afbfb6e0eb4b0b343d8bd331596d0" ns2:_="">
    <xsd:import namespace="c6896873-bc81-4df6-837a-c8ab31652155"/>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6896873-bc81-4df6-837a-c8ab3165215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391A8AD-5E87-45F9-B83D-22DDF7805D13}"/>
</file>

<file path=customXml/itemProps2.xml><?xml version="1.0" encoding="utf-8"?>
<ds:datastoreItem xmlns:ds="http://schemas.openxmlformats.org/officeDocument/2006/customXml" ds:itemID="{D7B6C741-AEE3-4032-9954-8A0CEBC8624D}">
  <ds:schemaRefs>
    <ds:schemaRef ds:uri="http://schemas.microsoft.com/sharepoint/v3/contenttype/forms"/>
  </ds:schemaRefs>
</ds:datastoreItem>
</file>

<file path=customXml/itemProps3.xml><?xml version="1.0" encoding="utf-8"?>
<ds:datastoreItem xmlns:ds="http://schemas.openxmlformats.org/officeDocument/2006/customXml" ds:itemID="{5DC0EC1E-BAA5-4920-8295-A4DF77988294}">
  <ds:schemaRefs>
    <ds:schemaRef ds:uri="http://schemas.microsoft.com/DataMashup"/>
  </ds:schemaRefs>
</ds:datastoreItem>
</file>

<file path=customXml/itemProps4.xml><?xml version="1.0" encoding="utf-8"?>
<ds:datastoreItem xmlns:ds="http://schemas.openxmlformats.org/officeDocument/2006/customXml" ds:itemID="{D309C6CE-A2C3-45CD-9FB5-87B211677C12}">
  <ds:schemaRefs>
    <ds:schemaRef ds:uri="http://schemas.microsoft.com/office/2006/metadata/properties"/>
    <ds:schemaRef ds:uri="http://schemas.microsoft.com/office/infopath/2007/PartnerControls"/>
    <ds:schemaRef ds:uri="094ecc41-7a37-40c9-8390-f18431712098"/>
    <ds:schemaRef ds:uri="32dd6115-ce5d-46b4-b638-9e7d5ca6cbee"/>
  </ds:schemaRefs>
</ds:datastoreItem>
</file>

<file path=docMetadata/LabelInfo.xml><?xml version="1.0" encoding="utf-8"?>
<clbl:labelList xmlns:clbl="http://schemas.microsoft.com/office/2020/mipLabelMetadata">
  <clbl:label id="{bbf63f12-ffda-40f9-93ee-a4e59d1649cf}" enabled="0" method="" siteId="{bbf63f12-ffda-40f9-93ee-a4e59d1649cf}"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5</vt:i4>
      </vt:variant>
    </vt:vector>
  </HeadingPairs>
  <TitlesOfParts>
    <vt:vector size="5" baseType="lpstr">
      <vt:lpstr>Eindijcers</vt:lpstr>
      <vt:lpstr>Rubric conceptfase</vt:lpstr>
      <vt:lpstr>Rubric productiefase VR</vt:lpstr>
      <vt:lpstr>Rubric productiefase TurnBased</vt:lpstr>
      <vt:lpstr>Rubric productiefase Physics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Kenneth van Beek</dc:creator>
  <cp:keywords/>
  <dc:description/>
  <cp:lastModifiedBy>Kenneth van Beek</cp:lastModifiedBy>
  <cp:revision/>
  <dcterms:created xsi:type="dcterms:W3CDTF">2021-05-25T08:32:05Z</dcterms:created>
  <dcterms:modified xsi:type="dcterms:W3CDTF">2026-09-21T12:40:01Z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0x01010005BDCF39D04FAA4E82051AFDE0236CFD</vt:lpwstr>
  </property>
  <property fmtid="{D5CDD505-2E9C-101B-9397-08002B2CF9AE}" pid="3" name="MediaServiceImageTags">
    <vt:lpwstr/>
  </property>
</Properties>
</file>